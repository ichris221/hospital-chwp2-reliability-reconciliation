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Index" sheetId="1" state="visible" r:id="rId1"/>
    <sheet xmlns:r="http://schemas.openxmlformats.org/officeDocument/2006/relationships" name="Pump_Curve_50Hz" sheetId="2" state="visible" r:id="rId2"/>
    <sheet xmlns:r="http://schemas.openxmlformats.org/officeDocument/2006/relationships" name="Pump_Curve_47Hz" sheetId="3" state="visible" r:id="rId3"/>
    <sheet xmlns:r="http://schemas.openxmlformats.org/officeDocument/2006/relationships" name="Field_Readings" sheetId="4" state="visible" r:id="rId4"/>
    <sheet xmlns:r="http://schemas.openxmlformats.org/officeDocument/2006/relationships" name="Flow_Scaling_Check" sheetId="5" state="visible" r:id="rId5"/>
    <sheet xmlns:r="http://schemas.openxmlformats.org/officeDocument/2006/relationships" name="TDH_Calculations" sheetId="6" state="visible" r:id="rId6"/>
    <sheet xmlns:r="http://schemas.openxmlformats.org/officeDocument/2006/relationships" name="DeltaT_Check" sheetId="7" state="visible" r:id="rId7"/>
    <sheet xmlns:r="http://schemas.openxmlformats.org/officeDocument/2006/relationships" name="Reference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Source_IndexTbl" displayName="Source_IndexTbl" ref="A1:E6" headerRowCount="1">
  <autoFilter ref="A1:E6"/>
  <tableColumns count="5">
    <tableColumn id="1" name="source_id"/>
    <tableColumn id="2" name="sheet_or_record"/>
    <tableColumn id="3" name="description"/>
    <tableColumn id="4" name="source_file"/>
    <tableColumn id="5" name="trace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ump_Curve_50HzTbl" displayName="Pump_Curve_50HzTbl" ref="A1:F6" headerRowCount="1">
  <autoFilter ref="A1:F6"/>
  <tableColumns count="6">
    <tableColumn id="1" name="curve_id"/>
    <tableColumn id="2" name="hz"/>
    <tableColumn id="3" name="flow_gpm"/>
    <tableColumn id="4" name="head_ft"/>
    <tableColumn id="5" name="efficiency_pct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ump_Curve_47HzTbl" displayName="Pump_Curve_47HzTbl" ref="A1:F6" headerRowCount="1">
  <autoFilter ref="A1:F6"/>
  <tableColumns count="6">
    <tableColumn id="1" name="curve_id"/>
    <tableColumn id="2" name="hz"/>
    <tableColumn id="3" name="flow_gpm"/>
    <tableColumn id="4" name="head_ft"/>
    <tableColumn id="5" name="efficiency_pct"/>
    <tableColumn id="6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eld_ReadingsTbl" displayName="Field_ReadingsTbl" ref="A1:K9" headerRowCount="1">
  <autoFilter ref="A1:K9"/>
  <tableColumns count="11">
    <tableColumn id="1" name="reading_id"/>
    <tableColumn id="2" name="timestamp"/>
    <tableColumn id="3" name="hz"/>
    <tableColumn id="4" name="flow_tag"/>
    <tableColumn id="5" name="flow_gpm_displayed"/>
    <tableColumn id="6" name="ultrasonic_gpm"/>
    <tableColumn id="7" name="suction_psi"/>
    <tableColumn id="8" name="discharge_psi"/>
    <tableColumn id="9" name="chw_supply_f"/>
    <tableColumn id="10" name="chw_return_f"/>
    <tableColumn id="11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low_Scaling_CheckTbl" displayName="Flow_Scaling_CheckTbl" ref="A1:G7" headerRowCount="1">
  <autoFilter ref="A1:G7"/>
  <tableColumns count="7">
    <tableColumn id="1" name="reading_id"/>
    <tableColumn id="2" name="displayed_gpm"/>
    <tableColumn id="3" name="ultrasonic_gpm"/>
    <tableColumn id="4" name="expected_rescale"/>
    <tableColumn id="5" name="rescaled_gpm"/>
    <tableColumn id="6" name="error_pct"/>
    <tableColumn id="7" name="verdi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DH_CalculationsTbl" displayName="TDH_CalculationsTbl" ref="A1:F9" headerRowCount="1">
  <autoFilter ref="A1:F9"/>
  <tableColumns count="6">
    <tableColumn id="1" name="reading_id"/>
    <tableColumn id="2" name="suction_psi"/>
    <tableColumn id="3" name="discharge_psi"/>
    <tableColumn id="4" name="elevation_ft"/>
    <tableColumn id="5" name="tdh_ft"/>
    <tableColumn id="6" name="formula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ltaT_CheckTbl" displayName="DeltaT_CheckTbl" ref="A1:F9" headerRowCount="1">
  <autoFilter ref="A1:F9"/>
  <tableColumns count="6">
    <tableColumn id="1" name="reading_id"/>
    <tableColumn id="2" name="supply_f"/>
    <tableColumn id="3" name="return_f"/>
    <tableColumn id="4" name="delta_t_f"/>
    <tableColumn id="5" name="low_delta_t_flag"/>
    <tableColumn id="6" name="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ference_NotesTbl" displayName="Reference_NotesTbl" ref="A1:C4" headerRowCount="1">
  <autoFilter ref="A1:C4"/>
  <tableColumns count="3">
    <tableColumn id="1" name="reference_name"/>
    <tableColumn id="2" name="url"/>
    <tableColumn id="3" name="use_in_t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source_id</t>
        </is>
      </c>
      <c r="B1" s="1" t="inlineStr">
        <is>
          <t>sheet_or_record</t>
        </is>
      </c>
      <c r="C1" s="1" t="inlineStr">
        <is>
          <t>description</t>
        </is>
      </c>
      <c r="D1" s="1" t="inlineStr">
        <is>
          <t>source_file</t>
        </is>
      </c>
      <c r="E1" s="1" t="inlineStr">
        <is>
          <t>trace_note</t>
        </is>
      </c>
    </row>
    <row r="2">
      <c r="A2" s="2" t="inlineStr">
        <is>
          <t>PFR-SI</t>
        </is>
      </c>
      <c r="B2" s="2" t="inlineStr">
        <is>
          <t>Source_Index</t>
        </is>
      </c>
      <c r="C2" s="2" t="inlineStr">
        <is>
          <t>Workbook source index</t>
        </is>
      </c>
      <c r="D2" s="2" t="inlineStr">
        <is>
          <t>HOSP_CHW_pump_curve_and_field_readings.xlsx</t>
        </is>
      </c>
      <c r="E2" s="2" t="inlineStr">
        <is>
          <t>Input workbook</t>
        </is>
      </c>
    </row>
    <row r="3">
      <c r="A3" s="2" t="inlineStr">
        <is>
          <t>CURVE50</t>
        </is>
      </c>
      <c r="B3" s="2" t="inlineStr">
        <is>
          <t>Pump_Curve_50Hz</t>
        </is>
      </c>
      <c r="C3" s="2" t="inlineStr">
        <is>
          <t>CHWP-2 OEM curve at 50 Hz</t>
        </is>
      </c>
      <c r="D3" s="2" t="inlineStr">
        <is>
          <t>HOSP_CHW_pump_curve_and_field_readings.xlsx</t>
        </is>
      </c>
      <c r="E3" s="2" t="inlineStr">
        <is>
          <t>n = local pump curve</t>
        </is>
      </c>
    </row>
    <row r="4">
      <c r="A4" s="2" t="inlineStr">
        <is>
          <t>CURVE47</t>
        </is>
      </c>
      <c r="B4" s="2" t="inlineStr">
        <is>
          <t>Pump_Curve_47Hz</t>
        </is>
      </c>
      <c r="C4" s="2" t="inlineStr">
        <is>
          <t>CHWP-2 reference curve at 47 Hz</t>
        </is>
      </c>
      <c r="D4" s="2" t="inlineStr">
        <is>
          <t>HOSP_CHW_pump_curve_and_field_readings.xlsx</t>
        </is>
      </c>
      <c r="E4" s="2" t="inlineStr">
        <is>
          <t>derived by vendor field sheet</t>
        </is>
      </c>
    </row>
    <row r="5">
      <c r="A5" s="2" t="inlineStr">
        <is>
          <t>FIELD</t>
        </is>
      </c>
      <c r="B5" s="2" t="inlineStr">
        <is>
          <t>Field_Readings</t>
        </is>
      </c>
      <c r="C5" s="2" t="inlineStr">
        <is>
          <t>field pressure, flow, temperature readings</t>
        </is>
      </c>
      <c r="D5" s="2" t="inlineStr">
        <is>
          <t>HOSP_CHW_pump_curve_and_field_readings.xlsx</t>
        </is>
      </c>
      <c r="E5" s="2" t="inlineStr">
        <is>
          <t>compare against BAS</t>
        </is>
      </c>
    </row>
    <row r="6">
      <c r="A6" s="2" t="inlineStr">
        <is>
          <t>SCALE</t>
        </is>
      </c>
      <c r="B6" s="2" t="inlineStr">
        <is>
          <t>Flow_Scaling_Check</t>
        </is>
      </c>
      <c r="C6" s="2" t="inlineStr">
        <is>
          <t>pre-correction BAS scale mismatch</t>
        </is>
      </c>
      <c r="D6" s="2" t="inlineStr">
        <is>
          <t>HOSP_CHW_pump_curve_and_field_readings.xlsx</t>
        </is>
      </c>
      <c r="E6" s="2" t="inlineStr">
        <is>
          <t>0-2400 vs 0-1800 gpm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</cols>
  <sheetData>
    <row r="1">
      <c r="A1" s="1" t="inlineStr">
        <is>
          <t>curve_id</t>
        </is>
      </c>
      <c r="B1" s="1" t="inlineStr">
        <is>
          <t>hz</t>
        </is>
      </c>
      <c r="C1" s="1" t="inlineStr">
        <is>
          <t>flow_gpm</t>
        </is>
      </c>
      <c r="D1" s="1" t="inlineStr">
        <is>
          <t>head_ft</t>
        </is>
      </c>
      <c r="E1" s="1" t="inlineStr">
        <is>
          <t>efficiency_pct</t>
        </is>
      </c>
      <c r="F1" s="1" t="inlineStr">
        <is>
          <t>notes</t>
        </is>
      </c>
    </row>
    <row r="2">
      <c r="A2" s="2" t="inlineStr">
        <is>
          <t>50Hz-01</t>
        </is>
      </c>
      <c r="B2" s="2" t="n">
        <v>50</v>
      </c>
      <c r="C2" s="2" t="n">
        <v>900</v>
      </c>
      <c r="D2" s="2" t="n">
        <v>112</v>
      </c>
      <c r="E2" s="2" t="n">
        <v>73</v>
      </c>
      <c r="F2" s="2" t="inlineStr">
        <is>
          <t>reference curve</t>
        </is>
      </c>
    </row>
    <row r="3">
      <c r="A3" s="2" t="inlineStr">
        <is>
          <t>50Hz-02</t>
        </is>
      </c>
      <c r="B3" s="2" t="n">
        <v>50</v>
      </c>
      <c r="C3" s="2" t="n">
        <v>1100</v>
      </c>
      <c r="D3" s="2" t="n">
        <v>106</v>
      </c>
      <c r="E3" s="2" t="n">
        <v>75</v>
      </c>
      <c r="F3" s="2" t="inlineStr">
        <is>
          <t>reference curve</t>
        </is>
      </c>
    </row>
    <row r="4">
      <c r="A4" s="2" t="inlineStr">
        <is>
          <t>50Hz-03</t>
        </is>
      </c>
      <c r="B4" s="2" t="n">
        <v>50</v>
      </c>
      <c r="C4" s="2" t="n">
        <v>1300</v>
      </c>
      <c r="D4" s="2" t="n">
        <v>98</v>
      </c>
      <c r="E4" s="2" t="n">
        <v>77</v>
      </c>
      <c r="F4" s="2" t="inlineStr">
        <is>
          <t>reference curve</t>
        </is>
      </c>
    </row>
    <row r="5">
      <c r="A5" s="2" t="inlineStr">
        <is>
          <t>50Hz-04</t>
        </is>
      </c>
      <c r="B5" s="2" t="n">
        <v>50</v>
      </c>
      <c r="C5" s="2" t="n">
        <v>1500</v>
      </c>
      <c r="D5" s="2" t="n">
        <v>86</v>
      </c>
      <c r="E5" s="2" t="n">
        <v>75</v>
      </c>
      <c r="F5" s="2" t="inlineStr">
        <is>
          <t>reference curve</t>
        </is>
      </c>
    </row>
    <row r="6">
      <c r="A6" s="2" t="inlineStr">
        <is>
          <t>50Hz-05</t>
        </is>
      </c>
      <c r="B6" s="2" t="n">
        <v>50</v>
      </c>
      <c r="C6" s="2" t="n">
        <v>1700</v>
      </c>
      <c r="D6" s="2" t="n">
        <v>71</v>
      </c>
      <c r="E6" s="2" t="n">
        <v>73</v>
      </c>
      <c r="F6" s="2" t="inlineStr">
        <is>
          <t>reference curve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</cols>
  <sheetData>
    <row r="1">
      <c r="A1" s="1" t="inlineStr">
        <is>
          <t>curve_id</t>
        </is>
      </c>
      <c r="B1" s="1" t="inlineStr">
        <is>
          <t>hz</t>
        </is>
      </c>
      <c r="C1" s="1" t="inlineStr">
        <is>
          <t>flow_gpm</t>
        </is>
      </c>
      <c r="D1" s="1" t="inlineStr">
        <is>
          <t>head_ft</t>
        </is>
      </c>
      <c r="E1" s="1" t="inlineStr">
        <is>
          <t>efficiency_pct</t>
        </is>
      </c>
      <c r="F1" s="1" t="inlineStr">
        <is>
          <t>notes</t>
        </is>
      </c>
    </row>
    <row r="2">
      <c r="A2" s="2" t="inlineStr">
        <is>
          <t>47Hz-01</t>
        </is>
      </c>
      <c r="B2" s="2" t="n">
        <v>47</v>
      </c>
      <c r="C2" s="2" t="n">
        <v>846</v>
      </c>
      <c r="D2" s="2" t="n">
        <v>99</v>
      </c>
      <c r="E2" s="2" t="n">
        <v>72.5</v>
      </c>
      <c r="F2" s="2" t="inlineStr">
        <is>
          <t>reference curve</t>
        </is>
      </c>
    </row>
    <row r="3">
      <c r="A3" s="2" t="inlineStr">
        <is>
          <t>47Hz-02</t>
        </is>
      </c>
      <c r="B3" s="2" t="n">
        <v>47</v>
      </c>
      <c r="C3" s="2" t="n">
        <v>1034</v>
      </c>
      <c r="D3" s="2" t="n">
        <v>94</v>
      </c>
      <c r="E3" s="2" t="n">
        <v>74.3</v>
      </c>
      <c r="F3" s="2" t="inlineStr">
        <is>
          <t>reference curve</t>
        </is>
      </c>
    </row>
    <row r="4">
      <c r="A4" s="2" t="inlineStr">
        <is>
          <t>47Hz-03</t>
        </is>
      </c>
      <c r="B4" s="2" t="n">
        <v>47</v>
      </c>
      <c r="C4" s="2" t="n">
        <v>1222</v>
      </c>
      <c r="D4" s="2" t="n">
        <v>87</v>
      </c>
      <c r="E4" s="2" t="n">
        <v>76.2</v>
      </c>
      <c r="F4" s="2" t="inlineStr">
        <is>
          <t>reference curve</t>
        </is>
      </c>
    </row>
    <row r="5">
      <c r="A5" s="2" t="inlineStr">
        <is>
          <t>47Hz-04</t>
        </is>
      </c>
      <c r="B5" s="2" t="n">
        <v>47</v>
      </c>
      <c r="C5" s="2" t="n">
        <v>1410</v>
      </c>
      <c r="D5" s="2" t="n">
        <v>77</v>
      </c>
      <c r="E5" s="2" t="n">
        <v>75.90000000000001</v>
      </c>
      <c r="F5" s="2" t="inlineStr">
        <is>
          <t>reference curve</t>
        </is>
      </c>
    </row>
    <row r="6">
      <c r="A6" s="2" t="inlineStr">
        <is>
          <t>47Hz-05</t>
        </is>
      </c>
      <c r="B6" s="2" t="n">
        <v>47</v>
      </c>
      <c r="C6" s="2" t="n">
        <v>1598</v>
      </c>
      <c r="D6" s="2" t="n">
        <v>63</v>
      </c>
      <c r="E6" s="2" t="n">
        <v>74</v>
      </c>
      <c r="F6" s="2" t="inlineStr">
        <is>
          <t>reference curve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20" customWidth="1" min="5" max="5"/>
    <col width="16" customWidth="1" min="6" max="6"/>
    <col width="13" customWidth="1" min="7" max="7"/>
    <col width="15" customWidth="1" min="8" max="8"/>
    <col width="14" customWidth="1" min="9" max="9"/>
    <col width="14" customWidth="1" min="10" max="10"/>
    <col width="22" customWidth="1" min="11" max="11"/>
  </cols>
  <sheetData>
    <row r="1">
      <c r="A1" s="1" t="inlineStr">
        <is>
          <t>reading_id</t>
        </is>
      </c>
      <c r="B1" s="1" t="inlineStr">
        <is>
          <t>timestamp</t>
        </is>
      </c>
      <c r="C1" s="1" t="inlineStr">
        <is>
          <t>hz</t>
        </is>
      </c>
      <c r="D1" s="1" t="inlineStr">
        <is>
          <t>flow_tag</t>
        </is>
      </c>
      <c r="E1" s="1" t="inlineStr">
        <is>
          <t>flow_gpm_displayed</t>
        </is>
      </c>
      <c r="F1" s="1" t="inlineStr">
        <is>
          <t>ultrasonic_gpm</t>
        </is>
      </c>
      <c r="G1" s="1" t="inlineStr">
        <is>
          <t>suction_psi</t>
        </is>
      </c>
      <c r="H1" s="1" t="inlineStr">
        <is>
          <t>discharge_psi</t>
        </is>
      </c>
      <c r="I1" s="1" t="inlineStr">
        <is>
          <t>chw_supply_f</t>
        </is>
      </c>
      <c r="J1" s="1" t="inlineStr">
        <is>
          <t>chw_return_f</t>
        </is>
      </c>
      <c r="K1" s="1" t="inlineStr">
        <is>
          <t>notes</t>
        </is>
      </c>
    </row>
    <row r="2">
      <c r="A2" s="2" t="inlineStr">
        <is>
          <t>PFR-001</t>
        </is>
      </c>
      <c r="B2" s="2" t="inlineStr">
        <is>
          <t>2026-08-03 07:00</t>
        </is>
      </c>
      <c r="C2" s="2" t="n">
        <v>47</v>
      </c>
      <c r="D2" s="2" t="inlineStr">
        <is>
          <t>BAS pre-correction</t>
        </is>
      </c>
      <c r="E2" s="2" t="n">
        <v>1620</v>
      </c>
      <c r="F2" s="2" t="n">
        <v>1215</v>
      </c>
      <c r="G2" s="2" t="n">
        <v>10.8</v>
      </c>
      <c r="H2" s="2" t="n">
        <v>52.2</v>
      </c>
      <c r="I2" s="2" t="n">
        <v>44</v>
      </c>
      <c r="J2" s="2" t="n">
        <v>53.2</v>
      </c>
      <c r="K2" s="2" t="inlineStr">
        <is>
          <t>pre scale issue</t>
        </is>
      </c>
    </row>
    <row r="3">
      <c r="A3" s="2" t="inlineStr">
        <is>
          <t>PFR-002</t>
        </is>
      </c>
      <c r="B3" s="2" t="inlineStr">
        <is>
          <t>2026-08-05 08:00</t>
        </is>
      </c>
      <c r="C3" s="2" t="n">
        <v>50</v>
      </c>
      <c r="D3" s="2" t="inlineStr">
        <is>
          <t>BAS pre-correction</t>
        </is>
      </c>
      <c r="E3" s="2" t="n">
        <v>1760</v>
      </c>
      <c r="F3" s="2" t="n">
        <v>1320</v>
      </c>
      <c r="G3" s="2" t="n">
        <v>11.4</v>
      </c>
      <c r="H3" s="2" t="n">
        <v>59</v>
      </c>
      <c r="I3" s="2" t="n">
        <v>44.5</v>
      </c>
      <c r="J3" s="2" t="n">
        <v>53.6</v>
      </c>
      <c r="K3" s="2" t="inlineStr">
        <is>
          <t>vibration alarm</t>
        </is>
      </c>
    </row>
    <row r="4">
      <c r="A4" s="2" t="inlineStr">
        <is>
          <t>PFR-003</t>
        </is>
      </c>
      <c r="B4" s="2" t="inlineStr">
        <is>
          <t>2026-08-07 13:40</t>
        </is>
      </c>
      <c r="C4" s="2" t="n">
        <v>50</v>
      </c>
      <c r="D4" s="2" t="inlineStr">
        <is>
          <t>BAS pre-correction</t>
        </is>
      </c>
      <c r="E4" s="2" t="n">
        <v>1715</v>
      </c>
      <c r="F4" s="2" t="n">
        <v>1285</v>
      </c>
      <c r="G4" s="2" t="n">
        <v>11</v>
      </c>
      <c r="H4" s="2" t="n">
        <v>58.1</v>
      </c>
      <c r="I4" s="2" t="n">
        <v>45.2</v>
      </c>
      <c r="J4" s="2" t="n">
        <v>52</v>
      </c>
      <c r="K4" s="2" t="inlineStr">
        <is>
          <t>after disputed seal</t>
        </is>
      </c>
    </row>
    <row r="5">
      <c r="A5" s="2" t="inlineStr">
        <is>
          <t>PFR-004</t>
        </is>
      </c>
      <c r="B5" s="2" t="inlineStr">
        <is>
          <t>2026-08-08 15:40</t>
        </is>
      </c>
      <c r="C5" s="2" t="n">
        <v>47</v>
      </c>
      <c r="D5" s="2" t="inlineStr">
        <is>
          <t>BAS pre-correction</t>
        </is>
      </c>
      <c r="E5" s="2" t="n">
        <v>1550</v>
      </c>
      <c r="F5" s="2" t="n">
        <v>1165</v>
      </c>
      <c r="G5" s="2" t="n">
        <v>10.6</v>
      </c>
      <c r="H5" s="2" t="n">
        <v>50.8</v>
      </c>
      <c r="I5" s="2" t="n">
        <v>45.6</v>
      </c>
      <c r="J5" s="2" t="n">
        <v>51.9</v>
      </c>
      <c r="K5" s="2" t="inlineStr">
        <is>
          <t>after alignment</t>
        </is>
      </c>
    </row>
    <row r="6">
      <c r="A6" s="2" t="inlineStr">
        <is>
          <t>PFR-005</t>
        </is>
      </c>
      <c r="B6" s="2" t="inlineStr">
        <is>
          <t>2026-08-10 12:00</t>
        </is>
      </c>
      <c r="C6" s="2" t="n">
        <v>50</v>
      </c>
      <c r="D6" s="2" t="inlineStr">
        <is>
          <t>BAS pre-correction</t>
        </is>
      </c>
      <c r="E6" s="2" t="n">
        <v>1690</v>
      </c>
      <c r="F6" s="2" t="n">
        <v>1268</v>
      </c>
      <c r="G6" s="2" t="n">
        <v>10.7</v>
      </c>
      <c r="H6" s="2" t="n">
        <v>57.4</v>
      </c>
      <c r="I6" s="2" t="n">
        <v>45.4</v>
      </c>
      <c r="J6" s="2" t="n">
        <v>51.7</v>
      </c>
      <c r="K6" s="2" t="inlineStr">
        <is>
          <t>HX DP high</t>
        </is>
      </c>
    </row>
    <row r="7">
      <c r="A7" s="2" t="inlineStr">
        <is>
          <t>PFR-006</t>
        </is>
      </c>
      <c r="B7" s="2" t="inlineStr">
        <is>
          <t>2026-08-12 09:45</t>
        </is>
      </c>
      <c r="C7" s="2" t="n">
        <v>50</v>
      </c>
      <c r="D7" s="2" t="inlineStr">
        <is>
          <t>BAS post-correction</t>
        </is>
      </c>
      <c r="E7" s="2" t="n">
        <v>1360</v>
      </c>
      <c r="F7" s="2" t="n">
        <v>1375</v>
      </c>
      <c r="G7" s="2" t="n">
        <v>11.8</v>
      </c>
      <c r="H7" s="2" t="n">
        <v>62.7</v>
      </c>
      <c r="I7" s="2" t="n">
        <v>44.7</v>
      </c>
      <c r="J7" s="2" t="n">
        <v>54.5</v>
      </c>
      <c r="K7" s="2" t="inlineStr">
        <is>
          <t>scaling corrected</t>
        </is>
      </c>
    </row>
    <row r="8">
      <c r="A8" s="2" t="inlineStr">
        <is>
          <t>PFR-007</t>
        </is>
      </c>
      <c r="B8" s="2" t="inlineStr">
        <is>
          <t>2026-08-15 15:10</t>
        </is>
      </c>
      <c r="C8" s="2" t="n">
        <v>50</v>
      </c>
      <c r="D8" s="2" t="inlineStr">
        <is>
          <t>BAS post-correction</t>
        </is>
      </c>
      <c r="E8" s="2" t="n">
        <v>1465</v>
      </c>
      <c r="F8" s="2" t="n">
        <v>1472</v>
      </c>
      <c r="G8" s="2" t="n">
        <v>12</v>
      </c>
      <c r="H8" s="2" t="n">
        <v>64.09999999999999</v>
      </c>
      <c r="I8" s="2" t="n">
        <v>44.1</v>
      </c>
      <c r="J8" s="2" t="n">
        <v>54.3</v>
      </c>
      <c r="K8" s="2" t="inlineStr">
        <is>
          <t>post strainer clean</t>
        </is>
      </c>
    </row>
    <row r="9">
      <c r="A9" s="2" t="inlineStr">
        <is>
          <t>PFR-008</t>
        </is>
      </c>
      <c r="B9" s="2" t="inlineStr">
        <is>
          <t>2026-08-16 07:30</t>
        </is>
      </c>
      <c r="C9" s="2" t="n">
        <v>47</v>
      </c>
      <c r="D9" s="2" t="inlineStr">
        <is>
          <t>BAS post-correction</t>
        </is>
      </c>
      <c r="E9" s="2" t="n">
        <v>1190</v>
      </c>
      <c r="F9" s="2" t="n">
        <v>1198</v>
      </c>
      <c r="G9" s="2" t="n">
        <v>11.1</v>
      </c>
      <c r="H9" s="2" t="n">
        <v>54.4</v>
      </c>
      <c r="I9" s="2" t="n">
        <v>45.3</v>
      </c>
      <c r="J9" s="2" t="n">
        <v>51.4</v>
      </c>
      <c r="K9" s="2" t="inlineStr">
        <is>
          <t>low delta T and trip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8" customWidth="1" min="4" max="4"/>
    <col width="14" customWidth="1" min="5" max="5"/>
    <col width="25" customWidth="1" min="6" max="6"/>
    <col width="28" customWidth="1" min="7" max="7"/>
  </cols>
  <sheetData>
    <row r="1">
      <c r="A1" s="1" t="inlineStr">
        <is>
          <t>reading_id</t>
        </is>
      </c>
      <c r="B1" s="1" t="inlineStr">
        <is>
          <t>displayed_gpm</t>
        </is>
      </c>
      <c r="C1" s="1" t="inlineStr">
        <is>
          <t>ultrasonic_gpm</t>
        </is>
      </c>
      <c r="D1" s="1" t="inlineStr">
        <is>
          <t>expected_rescale</t>
        </is>
      </c>
      <c r="E1" s="1" t="inlineStr">
        <is>
          <t>rescaled_gpm</t>
        </is>
      </c>
      <c r="F1" s="1" t="inlineStr">
        <is>
          <t>error_pct</t>
        </is>
      </c>
      <c r="G1" s="1" t="inlineStr">
        <is>
          <t>verdict</t>
        </is>
      </c>
    </row>
    <row r="2">
      <c r="A2" s="2" t="inlineStr">
        <is>
          <t>PFR-001</t>
        </is>
      </c>
      <c r="B2" s="2" t="n">
        <v>1620</v>
      </c>
      <c r="C2" s="2" t="n">
        <v>1215</v>
      </c>
      <c r="D2" s="2">
        <f>B2*1800/2400</f>
        <v/>
      </c>
      <c r="E2" s="2">
        <f>D2</f>
        <v/>
      </c>
      <c r="F2" s="2">
        <f>IF(C2=0,"",(E2-C2)/C2)</f>
        <v/>
      </c>
      <c r="G2" s="2">
        <f>IF(ABS(F2)&lt;0.03,"MATCH","MISMATCH")</f>
        <v/>
      </c>
    </row>
    <row r="3">
      <c r="A3" s="2" t="inlineStr">
        <is>
          <t>PFR-002</t>
        </is>
      </c>
      <c r="B3" s="2" t="n">
        <v>1760</v>
      </c>
      <c r="C3" s="2" t="n">
        <v>1320</v>
      </c>
      <c r="D3" s="2">
        <f>B3*1800/2400</f>
        <v/>
      </c>
      <c r="E3" s="2">
        <f>D3</f>
        <v/>
      </c>
      <c r="F3" s="2">
        <f>IF(C3=0,"",(E3-C3)/C3)</f>
        <v/>
      </c>
      <c r="G3" s="2">
        <f>IF(ABS(F3)&lt;0.03,"MATCH","MISMATCH")</f>
        <v/>
      </c>
    </row>
    <row r="4">
      <c r="A4" s="2" t="inlineStr">
        <is>
          <t>PFR-003</t>
        </is>
      </c>
      <c r="B4" s="2" t="n">
        <v>1715</v>
      </c>
      <c r="C4" s="2" t="n">
        <v>1285</v>
      </c>
      <c r="D4" s="2">
        <f>B4*1800/2400</f>
        <v/>
      </c>
      <c r="E4" s="2">
        <f>D4</f>
        <v/>
      </c>
      <c r="F4" s="2">
        <f>IF(C4=0,"",(E4-C4)/C4)</f>
        <v/>
      </c>
      <c r="G4" s="2">
        <f>IF(ABS(F4)&lt;0.03,"MATCH","MISMATCH")</f>
        <v/>
      </c>
    </row>
    <row r="5">
      <c r="A5" s="2" t="inlineStr">
        <is>
          <t>PFR-004</t>
        </is>
      </c>
      <c r="B5" s="2" t="n">
        <v>1550</v>
      </c>
      <c r="C5" s="2" t="n">
        <v>1165</v>
      </c>
      <c r="D5" s="2">
        <f>B5*1800/2400</f>
        <v/>
      </c>
      <c r="E5" s="2">
        <f>D5</f>
        <v/>
      </c>
      <c r="F5" s="2">
        <f>IF(C5=0,"",(E5-C5)/C5)</f>
        <v/>
      </c>
      <c r="G5" s="2">
        <f>IF(ABS(F5)&lt;0.03,"MATCH","MISMATCH")</f>
        <v/>
      </c>
    </row>
    <row r="6">
      <c r="A6" s="2" t="inlineStr">
        <is>
          <t>PFR-005</t>
        </is>
      </c>
      <c r="B6" s="2" t="n">
        <v>1690</v>
      </c>
      <c r="C6" s="2" t="n">
        <v>1268</v>
      </c>
      <c r="D6" s="2">
        <f>B6*1800/2400</f>
        <v/>
      </c>
      <c r="E6" s="2">
        <f>D6</f>
        <v/>
      </c>
      <c r="F6" s="2">
        <f>IF(C6=0,"",(E6-C6)/C6)</f>
        <v/>
      </c>
      <c r="G6" s="2">
        <f>IF(ABS(F6)&lt;0.03,"MATCH","MISMATCH")</f>
        <v/>
      </c>
    </row>
    <row r="7">
      <c r="A7" s="2" t="inlineStr">
        <is>
          <t>PFR-006</t>
        </is>
      </c>
      <c r="B7" s="2" t="n">
        <v>1360</v>
      </c>
      <c r="C7" s="2" t="n">
        <v>1375</v>
      </c>
      <c r="D7" s="2">
        <f>B7*1800/2400</f>
        <v/>
      </c>
      <c r="E7" s="2">
        <f>D7</f>
        <v/>
      </c>
      <c r="F7" s="2">
        <f>IF(C7=0,"",(E7-C7)/C7)</f>
        <v/>
      </c>
      <c r="G7" s="2">
        <f>IF(ABS(F7)&lt;0.03,"MATCH","MISMATCH")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8" customWidth="1" min="5" max="5"/>
    <col width="20" customWidth="1" min="6" max="6"/>
  </cols>
  <sheetData>
    <row r="1">
      <c r="A1" s="1" t="inlineStr">
        <is>
          <t>reading_id</t>
        </is>
      </c>
      <c r="B1" s="1" t="inlineStr">
        <is>
          <t>suction_psi</t>
        </is>
      </c>
      <c r="C1" s="1" t="inlineStr">
        <is>
          <t>discharge_psi</t>
        </is>
      </c>
      <c r="D1" s="1" t="inlineStr">
        <is>
          <t>elevation_ft</t>
        </is>
      </c>
      <c r="E1" s="1" t="inlineStr">
        <is>
          <t>tdh_ft</t>
        </is>
      </c>
      <c r="F1" s="1" t="inlineStr">
        <is>
          <t>formula_note</t>
        </is>
      </c>
    </row>
    <row r="2">
      <c r="A2" s="2" t="inlineStr">
        <is>
          <t>PFR-001</t>
        </is>
      </c>
      <c r="B2" s="2" t="n">
        <v>10.8</v>
      </c>
      <c r="C2" s="2" t="n">
        <v>52.2</v>
      </c>
      <c r="D2" s="2" t="n">
        <v>3</v>
      </c>
      <c r="E2" s="2">
        <f>(C2-B2)*2.31+D2</f>
        <v/>
      </c>
      <c r="F2" s="2" t="inlineStr">
        <is>
          <t>TDH=(D-S)*2.31+3.0</t>
        </is>
      </c>
    </row>
    <row r="3">
      <c r="A3" s="2" t="inlineStr">
        <is>
          <t>PFR-002</t>
        </is>
      </c>
      <c r="B3" s="2" t="n">
        <v>11.4</v>
      </c>
      <c r="C3" s="2" t="n">
        <v>59</v>
      </c>
      <c r="D3" s="2" t="n">
        <v>3</v>
      </c>
      <c r="E3" s="2">
        <f>(C3-B3)*2.31+D3</f>
        <v/>
      </c>
      <c r="F3" s="2" t="inlineStr">
        <is>
          <t>TDH=(D-S)*2.31+3.0</t>
        </is>
      </c>
    </row>
    <row r="4">
      <c r="A4" s="2" t="inlineStr">
        <is>
          <t>PFR-003</t>
        </is>
      </c>
      <c r="B4" s="2" t="n">
        <v>11</v>
      </c>
      <c r="C4" s="2" t="n">
        <v>58.1</v>
      </c>
      <c r="D4" s="2" t="n">
        <v>3</v>
      </c>
      <c r="E4" s="2">
        <f>(C4-B4)*2.31+D4</f>
        <v/>
      </c>
      <c r="F4" s="2" t="inlineStr">
        <is>
          <t>TDH=(D-S)*2.31+3.0</t>
        </is>
      </c>
    </row>
    <row r="5">
      <c r="A5" s="2" t="inlineStr">
        <is>
          <t>PFR-004</t>
        </is>
      </c>
      <c r="B5" s="2" t="n">
        <v>10.6</v>
      </c>
      <c r="C5" s="2" t="n">
        <v>50.8</v>
      </c>
      <c r="D5" s="2" t="n">
        <v>3</v>
      </c>
      <c r="E5" s="2">
        <f>(C5-B5)*2.31+D5</f>
        <v/>
      </c>
      <c r="F5" s="2" t="inlineStr">
        <is>
          <t>TDH=(D-S)*2.31+3.0</t>
        </is>
      </c>
    </row>
    <row r="6">
      <c r="A6" s="2" t="inlineStr">
        <is>
          <t>PFR-005</t>
        </is>
      </c>
      <c r="B6" s="2" t="n">
        <v>10.7</v>
      </c>
      <c r="C6" s="2" t="n">
        <v>57.4</v>
      </c>
      <c r="D6" s="2" t="n">
        <v>3</v>
      </c>
      <c r="E6" s="2">
        <f>(C6-B6)*2.31+D6</f>
        <v/>
      </c>
      <c r="F6" s="2" t="inlineStr">
        <is>
          <t>TDH=(D-S)*2.31+3.0</t>
        </is>
      </c>
    </row>
    <row r="7">
      <c r="A7" s="2" t="inlineStr">
        <is>
          <t>PFR-006</t>
        </is>
      </c>
      <c r="B7" s="2" t="n">
        <v>11.8</v>
      </c>
      <c r="C7" s="2" t="n">
        <v>62.7</v>
      </c>
      <c r="D7" s="2" t="n">
        <v>3</v>
      </c>
      <c r="E7" s="2">
        <f>(C7-B7)*2.31+D7</f>
        <v/>
      </c>
      <c r="F7" s="2" t="inlineStr">
        <is>
          <t>TDH=(D-S)*2.31+3.0</t>
        </is>
      </c>
    </row>
    <row r="8">
      <c r="A8" s="2" t="inlineStr">
        <is>
          <t>PFR-007</t>
        </is>
      </c>
      <c r="B8" s="2" t="n">
        <v>12</v>
      </c>
      <c r="C8" s="2" t="n">
        <v>64.09999999999999</v>
      </c>
      <c r="D8" s="2" t="n">
        <v>3</v>
      </c>
      <c r="E8" s="2">
        <f>(C8-B8)*2.31+D8</f>
        <v/>
      </c>
      <c r="F8" s="2" t="inlineStr">
        <is>
          <t>TDH=(D-S)*2.31+3.0</t>
        </is>
      </c>
    </row>
    <row r="9">
      <c r="A9" s="2" t="inlineStr">
        <is>
          <t>PFR-008</t>
        </is>
      </c>
      <c r="B9" s="2" t="n">
        <v>11.1</v>
      </c>
      <c r="C9" s="2" t="n">
        <v>54.4</v>
      </c>
      <c r="D9" s="2" t="n">
        <v>3</v>
      </c>
      <c r="E9" s="2">
        <f>(C9-B9)*2.31+D9</f>
        <v/>
      </c>
      <c r="F9" s="2" t="inlineStr">
        <is>
          <t>TDH=(D-S)*2.31+3.0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reading_id</t>
        </is>
      </c>
      <c r="B1" s="1" t="inlineStr">
        <is>
          <t>supply_f</t>
        </is>
      </c>
      <c r="C1" s="1" t="inlineStr">
        <is>
          <t>return_f</t>
        </is>
      </c>
      <c r="D1" s="1" t="inlineStr">
        <is>
          <t>delta_t_f</t>
        </is>
      </c>
      <c r="E1" s="1" t="inlineStr">
        <is>
          <t>low_delta_t_flag</t>
        </is>
      </c>
      <c r="F1" s="1" t="inlineStr">
        <is>
          <t>note</t>
        </is>
      </c>
    </row>
    <row r="2">
      <c r="A2" s="2" t="inlineStr">
        <is>
          <t>PFR-001</t>
        </is>
      </c>
      <c r="B2" s="2" t="n">
        <v>44</v>
      </c>
      <c r="C2" s="2" t="n">
        <v>53.2</v>
      </c>
      <c r="D2" s="2">
        <f>C2-B2</f>
        <v/>
      </c>
      <c r="E2" s="2">
        <f>IF(D2&lt;8,"LOW","OK")</f>
        <v/>
      </c>
      <c r="F2" s="2" t="inlineStr">
        <is>
          <t>pre scale issue</t>
        </is>
      </c>
    </row>
    <row r="3">
      <c r="A3" s="2" t="inlineStr">
        <is>
          <t>PFR-002</t>
        </is>
      </c>
      <c r="B3" s="2" t="n">
        <v>44.5</v>
      </c>
      <c r="C3" s="2" t="n">
        <v>53.6</v>
      </c>
      <c r="D3" s="2">
        <f>C3-B3</f>
        <v/>
      </c>
      <c r="E3" s="2">
        <f>IF(D3&lt;8,"LOW","OK")</f>
        <v/>
      </c>
      <c r="F3" s="2" t="inlineStr">
        <is>
          <t>vibration alarm</t>
        </is>
      </c>
    </row>
    <row r="4">
      <c r="A4" s="2" t="inlineStr">
        <is>
          <t>PFR-003</t>
        </is>
      </c>
      <c r="B4" s="2" t="n">
        <v>45.2</v>
      </c>
      <c r="C4" s="2" t="n">
        <v>52</v>
      </c>
      <c r="D4" s="2">
        <f>C4-B4</f>
        <v/>
      </c>
      <c r="E4" s="2">
        <f>IF(D4&lt;8,"LOW","OK")</f>
        <v/>
      </c>
      <c r="F4" s="2" t="inlineStr">
        <is>
          <t>after disputed seal</t>
        </is>
      </c>
    </row>
    <row r="5">
      <c r="A5" s="2" t="inlineStr">
        <is>
          <t>PFR-004</t>
        </is>
      </c>
      <c r="B5" s="2" t="n">
        <v>45.6</v>
      </c>
      <c r="C5" s="2" t="n">
        <v>51.9</v>
      </c>
      <c r="D5" s="2">
        <f>C5-B5</f>
        <v/>
      </c>
      <c r="E5" s="2">
        <f>IF(D5&lt;8,"LOW","OK")</f>
        <v/>
      </c>
      <c r="F5" s="2" t="inlineStr">
        <is>
          <t>after alignment</t>
        </is>
      </c>
    </row>
    <row r="6">
      <c r="A6" s="2" t="inlineStr">
        <is>
          <t>PFR-005</t>
        </is>
      </c>
      <c r="B6" s="2" t="n">
        <v>45.4</v>
      </c>
      <c r="C6" s="2" t="n">
        <v>51.7</v>
      </c>
      <c r="D6" s="2">
        <f>C6-B6</f>
        <v/>
      </c>
      <c r="E6" s="2">
        <f>IF(D6&lt;8,"LOW","OK")</f>
        <v/>
      </c>
      <c r="F6" s="2" t="inlineStr">
        <is>
          <t>HX DP high</t>
        </is>
      </c>
    </row>
    <row r="7">
      <c r="A7" s="2" t="inlineStr">
        <is>
          <t>PFR-006</t>
        </is>
      </c>
      <c r="B7" s="2" t="n">
        <v>44.7</v>
      </c>
      <c r="C7" s="2" t="n">
        <v>54.5</v>
      </c>
      <c r="D7" s="2">
        <f>C7-B7</f>
        <v/>
      </c>
      <c r="E7" s="2">
        <f>IF(D7&lt;8,"LOW","OK")</f>
        <v/>
      </c>
      <c r="F7" s="2" t="inlineStr">
        <is>
          <t>scaling corrected</t>
        </is>
      </c>
    </row>
    <row r="8">
      <c r="A8" s="2" t="inlineStr">
        <is>
          <t>PFR-007</t>
        </is>
      </c>
      <c r="B8" s="2" t="n">
        <v>44.1</v>
      </c>
      <c r="C8" s="2" t="n">
        <v>54.3</v>
      </c>
      <c r="D8" s="2">
        <f>C8-B8</f>
        <v/>
      </c>
      <c r="E8" s="2">
        <f>IF(D8&lt;8,"LOW","OK")</f>
        <v/>
      </c>
      <c r="F8" s="2" t="inlineStr">
        <is>
          <t>post strainer clean</t>
        </is>
      </c>
    </row>
    <row r="9">
      <c r="A9" s="2" t="inlineStr">
        <is>
          <t>PFR-008</t>
        </is>
      </c>
      <c r="B9" s="2" t="n">
        <v>45.3</v>
      </c>
      <c r="C9" s="2" t="n">
        <v>51.4</v>
      </c>
      <c r="D9" s="2">
        <f>C9-B9</f>
        <v/>
      </c>
      <c r="E9" s="2">
        <f>IF(D9&lt;8,"LOW","OK")</f>
        <v/>
      </c>
      <c r="F9" s="2" t="inlineStr">
        <is>
          <t>low delta T and trip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reference_name</t>
        </is>
      </c>
      <c r="B1" s="1" t="inlineStr">
        <is>
          <t>url</t>
        </is>
      </c>
      <c r="C1" s="1" t="inlineStr">
        <is>
          <t>use_in_task</t>
        </is>
      </c>
    </row>
    <row r="2">
      <c r="A2" s="2" t="inlineStr">
        <is>
          <t>OSHA 29 CFR 1910.147</t>
        </is>
      </c>
      <c r="B2" s="2" t="inlineStr">
        <is>
          <t>https://www.osha.gov/laws-regs/regulations/standardnumber/1910/1910.147</t>
        </is>
      </c>
      <c r="C2" s="2" t="inlineStr">
        <is>
          <t>lockout/tagout control of hazardous energy</t>
        </is>
      </c>
    </row>
    <row r="3">
      <c r="A3" s="2" t="inlineStr">
        <is>
          <t>DOE O&amp;M Best Practices Guide</t>
        </is>
      </c>
      <c r="B3" s="2" t="inlineStr">
        <is>
          <t>https://www.energy.gov/sites/prod/files/2020/04/f74/omguide_complete_w-eo-disclaimer.pdf</t>
        </is>
      </c>
      <c r="C3" s="2" t="inlineStr">
        <is>
          <t>maintenance interpretation and building systems</t>
        </is>
      </c>
    </row>
    <row r="4">
      <c r="A4" s="2" t="inlineStr">
        <is>
          <t>DOE FEMP BMP #10 Cooling Tower Management</t>
        </is>
      </c>
      <c r="B4" s="2" t="inlineStr">
        <is>
          <t>https://www.energy.gov/cmei/femp/best-management-practice-10-cooling-tower-management</t>
        </is>
      </c>
      <c r="C4" s="2" t="inlineStr">
        <is>
          <t>cooling tower cycles, blowdown, conductivity, basin management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 Utilities Facilities</dc:creator>
  <dc:title xmlns:dc="http://purl.org/dc/elements/1.1/">HOSP CHW pump curve and field readings</dc:title>
  <dcterms:created xmlns:dcterms="http://purl.org/dc/terms/" xmlns:xsi="http://www.w3.org/2001/XMLSchema-instance" xsi:type="dcterms:W3CDTF">2026-07-05T08:45:18Z</dcterms:created>
  <dcterms:modified xmlns:dcterms="http://purl.org/dc/terms/" xmlns:xsi="http://www.w3.org/2001/XMLSchema-instance" xsi:type="dcterms:W3CDTF">2026-07-05T08:45:18Z</dcterms:modified>
  <cp:lastModifiedBy>North Utilities Facilities</cp:lastModifiedBy>
</cp:coreProperties>
</file>